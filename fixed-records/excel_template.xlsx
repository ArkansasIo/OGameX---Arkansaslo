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'Records'!$A$1:$L$1001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2" customWidth="1" min="10" max="10"/>
    <col width="24" customWidth="1" min="11" max="11"/>
    <col width="12" customWidth="1" min="12" max="12"/>
  </cols>
  <sheetData>
    <row r="1">
      <c r="A1" s="1" t="inlineStr">
        <is>
          <t>Magic</t>
        </is>
      </c>
      <c r="B1" s="1" t="inlineStr">
        <is>
          <t>Version</t>
        </is>
      </c>
      <c r="C1" s="1" t="inlineStr">
        <is>
          <t>Flags</t>
        </is>
      </c>
      <c r="D1" s="1" t="inlineStr">
        <is>
          <t>Record Type</t>
        </is>
      </c>
      <c r="E1" s="1" t="inlineStr">
        <is>
          <t>Record ID</t>
        </is>
      </c>
      <c r="F1" s="1" t="inlineStr">
        <is>
          <t>Value</t>
        </is>
      </c>
      <c r="G1" s="1" t="inlineStr">
        <is>
          <t>Quantity</t>
        </is>
      </c>
      <c r="H1" s="1" t="inlineStr">
        <is>
          <t>Owner ID</t>
        </is>
      </c>
      <c r="I1" s="1" t="inlineStr">
        <is>
          <t>Timestamp</t>
        </is>
      </c>
      <c r="J1" s="1" t="inlineStr">
        <is>
          <t>CRC-16</t>
        </is>
      </c>
      <c r="K1" s="1" t="inlineStr">
        <is>
          <t>Packed Hex</t>
        </is>
      </c>
      <c r="L1" s="1" t="inlineStr">
        <is>
          <t>Valid?</t>
        </is>
      </c>
    </row>
    <row r="2">
      <c r="A2">
        <f>82</f>
        <v/>
      </c>
      <c r="B2" t="n">
        <v>1</v>
      </c>
      <c r="C2" t="n">
        <v>1</v>
      </c>
      <c r="D2" t="n">
        <v>1</v>
      </c>
      <c r="E2" t="n">
        <v>1001</v>
      </c>
      <c r="F2" t="n">
        <v>2500</v>
      </c>
      <c r="G2" t="n">
        <v>1</v>
      </c>
      <c r="H2" t="n">
        <v>7</v>
      </c>
      <c r="I2" t="n">
        <v>1726550400</v>
      </c>
      <c r="J2">
        <f>0</f>
        <v/>
      </c>
      <c r="K2">
        <f>CONCAT("52",DEC2HEX(B2,2),DEC2HEX(C2,2),DEC2HEX(D2,2))</f>
        <v/>
      </c>
      <c r="L2">
        <f>AND(A2=82,B2=1,C2&gt;=0,C2&lt;=3,D2&gt;=1,D2&lt;=4,E2&gt;=0,E2&lt;=4294967295,F2&gt;=0,F2&lt;=4294967295,G2&gt;=0,G2&lt;=65535,H2&gt;=0,H2&lt;=65535,I2&gt;=0,I2&lt;=4294967295)</f>
        <v/>
      </c>
    </row>
    <row r="3">
      <c r="A3">
        <f>82</f>
        <v/>
      </c>
      <c r="B3" t="n">
        <v>1</v>
      </c>
      <c r="C3" t="n">
        <v>1</v>
      </c>
      <c r="D3" t="n">
        <v>2</v>
      </c>
      <c r="E3" t="n">
        <v>2001</v>
      </c>
      <c r="F3" t="n">
        <v>90000</v>
      </c>
      <c r="G3" t="n">
        <v>12</v>
      </c>
      <c r="H3" t="n">
        <v>7</v>
      </c>
      <c r="I3" t="n">
        <v>1726550400</v>
      </c>
      <c r="J3">
        <f>0</f>
        <v/>
      </c>
      <c r="K3">
        <f>CONCAT("52",DEC2HEX(B2,2),DEC2HEX(C2,2),DEC2HEX(D2,2))</f>
        <v/>
      </c>
      <c r="L3">
        <f>AND(A2=82,B2=1,C2&gt;=0,C2&lt;=3,D2&gt;=1,D2&lt;=4,E2&gt;=0,E2&lt;=4294967295,F2&gt;=0,F2&lt;=4294967295,G2&gt;=0,G2&lt;=65535,H2&gt;=0,H2&lt;=65535,I2&gt;=0,I2&lt;=4294967295)</f>
        <v/>
      </c>
    </row>
    <row r="4">
      <c r="A4">
        <f>82</f>
        <v/>
      </c>
      <c r="B4" t="n">
        <v>1</v>
      </c>
      <c r="C4" t="n">
        <v>1</v>
      </c>
      <c r="D4" t="n">
        <v>3</v>
      </c>
      <c r="E4" t="n">
        <v>3001</v>
      </c>
      <c r="F4" t="n">
        <v>450</v>
      </c>
      <c r="G4" t="n">
        <v>320</v>
      </c>
      <c r="H4" t="n">
        <v>7</v>
      </c>
      <c r="I4" t="n">
        <v>1726550400</v>
      </c>
      <c r="J4">
        <f>0</f>
        <v/>
      </c>
      <c r="K4">
        <f>CONCAT("52",DEC2HEX(B2,2),DEC2HEX(C2,2),DEC2HEX(D2,2))</f>
        <v/>
      </c>
      <c r="L4">
        <f>AND(A2=82,B2=1,C2&gt;=0,C2&lt;=3,D2&gt;=1,D2&lt;=4,E2&gt;=0,E2&lt;=4294967295,F2&gt;=0,F2&lt;=4294967295,G2&gt;=0,G2&lt;=65535,H2&gt;=0,H2&lt;=65535,I2&gt;=0,I2&lt;=4294967295)</f>
        <v/>
      </c>
    </row>
  </sheetData>
  <autoFilter ref="A1:L1001"/>
  <conditionalFormatting sqref="L2:L1001">
    <cfRule type="expression" priority="1" dxfId="0">
      <formula>L2=FALSE</formula>
    </cfRule>
  </conditionalFormatting>
  <dataValidations count="1">
    <dataValidation sqref="D2:D1001" showDropDown="0" showInputMessage="0" showErrorMessage="0" allowBlank="0" error="Record type must be 1..4" type="whole" operator="between">
      <formula1>1</formula1>
      <formula2>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24" customWidth="1" min="3" max="3"/>
  </cols>
  <sheetData>
    <row r="1">
      <c r="A1" s="2" t="inlineStr">
        <is>
          <t>8-bit Fixed Records — Excel Template</t>
        </is>
      </c>
      <c r="B1" s="2" t="n"/>
      <c r="C1" s="2" t="n"/>
    </row>
    <row r="3">
      <c r="A3" t="inlineStr">
        <is>
          <t>Enter one record per row on Records. Numeric fields are unsigned and must stay within the bounds below.</t>
        </is>
      </c>
    </row>
    <row r="4">
      <c r="A4" t="inlineStr">
        <is>
          <t>Field</t>
        </is>
      </c>
      <c r="B4" t="inlineStr">
        <is>
          <t>Meaning</t>
        </is>
      </c>
      <c r="C4" t="inlineStr">
        <is>
          <t>Range</t>
        </is>
      </c>
    </row>
    <row r="5">
      <c r="A5" t="inlineStr">
        <is>
          <t>Magic</t>
        </is>
      </c>
      <c r="B5" t="inlineStr">
        <is>
          <t>Constant record marker</t>
        </is>
      </c>
      <c r="C5" t="inlineStr">
        <is>
          <t>82</t>
        </is>
      </c>
    </row>
    <row r="6">
      <c r="A6" t="inlineStr">
        <is>
          <t>Version</t>
        </is>
      </c>
      <c r="B6" t="inlineStr">
        <is>
          <t>Format version</t>
        </is>
      </c>
      <c r="C6" t="inlineStr">
        <is>
          <t>1</t>
        </is>
      </c>
    </row>
    <row r="7">
      <c r="A7" t="inlineStr">
        <is>
          <t>Flags</t>
        </is>
      </c>
      <c r="B7" t="inlineStr">
        <is>
          <t>Bit 0 active, bit 1 deleted</t>
        </is>
      </c>
      <c r="C7" t="inlineStr">
        <is>
          <t>0..3</t>
        </is>
      </c>
    </row>
    <row r="8">
      <c r="A8" t="inlineStr">
        <is>
          <t>Record Type</t>
        </is>
      </c>
      <c r="B8" t="inlineStr">
        <is>
          <t>1 player, 2 planet, 3 resource, 4 event</t>
        </is>
      </c>
      <c r="C8" t="inlineStr">
        <is>
          <t>1..4</t>
        </is>
      </c>
    </row>
    <row r="9">
      <c r="A9" t="inlineStr">
        <is>
          <t>Record ID</t>
        </is>
      </c>
      <c r="B9" t="inlineStr">
        <is>
          <t>Unsigned 32-bit identifier</t>
        </is>
      </c>
      <c r="C9" t="inlineStr">
        <is>
          <t>0..4294967295</t>
        </is>
      </c>
    </row>
    <row r="10">
      <c r="A10" t="inlineStr">
        <is>
          <t>Value</t>
        </is>
      </c>
      <c r="B10" t="inlineStr">
        <is>
          <t>Unsigned 32-bit value</t>
        </is>
      </c>
      <c r="C10" t="inlineStr">
        <is>
          <t>0..4294967295</t>
        </is>
      </c>
    </row>
    <row r="11">
      <c r="A11" t="inlineStr">
        <is>
          <t>Quantity</t>
        </is>
      </c>
      <c r="B11" t="inlineStr">
        <is>
          <t>Unsigned 16-bit quantity</t>
        </is>
      </c>
      <c r="C11" t="inlineStr">
        <is>
          <t>0..65535</t>
        </is>
      </c>
    </row>
    <row r="12">
      <c r="A12" t="inlineStr">
        <is>
          <t>Owner ID</t>
        </is>
      </c>
      <c r="B12" t="inlineStr">
        <is>
          <t>Unsigned 16-bit owner</t>
        </is>
      </c>
      <c r="C12" t="inlineStr">
        <is>
          <t>0..65535</t>
        </is>
      </c>
    </row>
    <row r="13">
      <c r="A13" t="inlineStr">
        <is>
          <t>Timestamp</t>
        </is>
      </c>
      <c r="B13" t="inlineStr">
        <is>
          <t>Unsigned Unix seconds</t>
        </is>
      </c>
      <c r="C13" t="inlineStr">
        <is>
          <t>0..4294967295</t>
        </is>
      </c>
    </row>
    <row r="15">
      <c r="A15" t="inlineStr">
        <is>
          <t>CRC algorithm</t>
        </is>
      </c>
      <c r="B15" t="inlineStr">
        <is>
          <t>CRC-16/CCITT-FALSE over all 20 packed bytes; polynomial 0x1021, initial 0xFFFF.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2026-09-17T10:23:51Z</dcterms:created>
  <dcterms:modified xmlns:dcterms="http://purl.org/dc/terms/" xmlns:xsi="http://www.w3.org/2001/XMLSchema-instance" xsi:type="dcterms:W3CDTF">2026-09-17T10:23:51Z</dcterms:modified>
</cp:coreProperties>
</file>